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perimentos" sheetId="1" state="visible" r:id="rId1"/>
    <sheet xmlns:r="http://schemas.openxmlformats.org/officeDocument/2006/relationships" name="Config Ganadora" sheetId="2" state="visible" r:id="rId2"/>
    <sheet xmlns:r="http://schemas.openxmlformats.org/officeDocument/2006/relationships" name="Plan" sheetId="3" state="visible" r:id="rId3"/>
    <sheet xmlns:r="http://schemas.openxmlformats.org/officeDocument/2006/relationships" name="Evolución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6100"/>
      <sz val="11"/>
    </font>
    <font>
      <name val="Arial"/>
      <charset val="1"/>
      <family val="0"/>
      <b val="1"/>
      <color rgb="FF9C0006"/>
      <sz val="11"/>
    </font>
    <font>
      <name val="Arial"/>
      <charset val="1"/>
      <family val="0"/>
      <i val="1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0F4C81"/>
        <bgColor rgb="FF333399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F4C8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Tiempo por intento (segundos)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Evolución!B3</f>
              <strCache>
                <ptCount val="1"/>
                <pt idx="0">
                  <v>Tiempo (seg)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Evolución!$A$4:$A$6</f>
              <strCache>
                <ptCount val="3"/>
                <pt idx="0">
                  <v>1</v>
                </pt>
                <pt idx="1">
                  <v>2</v>
                </pt>
                <pt idx="2">
                  <v>3</v>
                </pt>
              </strCache>
            </strRef>
          </cat>
          <val>
            <numRef>
              <f>Evolución!$B$4:$B$6</f>
              <numCache>
                <formatCode>General</formatCode>
                <ptCount val="3"/>
                <pt idx="0">
                  <v>184.55</v>
                </pt>
                <pt idx="1">
                  <v>175.03</v>
                </pt>
                <pt idx="2">
                  <v>173.68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97365"/>
        <axId val="5151859"/>
      </lineChart>
      <catAx>
        <axId val="49736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Intento nº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151859"/>
        <crosses val="autoZero"/>
        <auto val="1"/>
        <lblAlgn val="ctr"/>
        <lblOffset val="100"/>
        <noMultiLvlLbl val="0"/>
      </catAx>
      <valAx>
        <axId val="51518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Segundos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9736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2</row>
      <rowOff>0</rowOff>
    </from>
    <to>
      <col>14</col>
      <colOff>364320</colOff>
      <row>19</row>
      <rowOff>1080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28" min="1" max="1"/>
    <col width="12" customWidth="1" style="28" min="2" max="2"/>
    <col width="14" customWidth="1" style="28" min="3" max="3"/>
    <col width="12" customWidth="1" style="28" min="4" max="4"/>
    <col width="16" customWidth="1" style="28" min="5" max="6"/>
    <col width="12" customWidth="1" style="28" min="7" max="7"/>
    <col width="16" customWidth="1" style="28" min="8" max="8"/>
    <col width="12" customWidth="1" style="28" min="9" max="10"/>
    <col width="10" customWidth="1" style="28" min="11" max="11"/>
    <col width="50" customWidth="1" style="28" min="12" max="12"/>
  </cols>
  <sheetData>
    <row r="1" ht="27.75" customHeight="1" s="29">
      <c r="A1" s="30" t="inlineStr">
        <is>
          <t>Bitácora de Experimentos — IBM Global AI Racing League</t>
        </is>
      </c>
    </row>
    <row r="2" ht="15" customHeight="1" s="29">
      <c r="A2" s="31" t="inlineStr">
        <is>
          <t>Piloto: Alvaro  |  Circuito: Corkscrew  |  Coche: car1-trb1  |  Equipo: Solo</t>
        </is>
      </c>
    </row>
    <row r="4" ht="31.5" customHeight="1" s="29">
      <c r="A4" s="32" t="inlineStr">
        <is>
          <t>#</t>
        </is>
      </c>
      <c r="B4" s="32" t="inlineStr">
        <is>
          <t>Fecha</t>
        </is>
      </c>
      <c r="C4" s="32" t="inlineStr">
        <is>
          <t>TARGET_SPEED</t>
        </is>
      </c>
      <c r="D4" s="32" t="inlineStr">
        <is>
          <t>STEER_GAIN</t>
        </is>
      </c>
      <c r="E4" s="32" t="inlineStr">
        <is>
          <t>CENTERING_GAIN</t>
        </is>
      </c>
      <c r="F4" s="32" t="inlineStr">
        <is>
          <t>BRAKE_THRESHOLD</t>
        </is>
      </c>
      <c r="G4" s="32" t="inlineStr">
        <is>
          <t>Freno Curva</t>
        </is>
      </c>
      <c r="H4" s="32" t="inlineStr">
        <is>
          <t>Best (mm:ss.cc)</t>
        </is>
      </c>
      <c r="I4" s="32" t="inlineStr">
        <is>
          <t>Best (seg)</t>
        </is>
      </c>
      <c r="J4" s="32" t="inlineStr">
        <is>
          <t>Top Speed</t>
        </is>
      </c>
      <c r="K4" s="32" t="inlineStr">
        <is>
          <t>Damage</t>
        </is>
      </c>
      <c r="L4" s="32" t="inlineStr">
        <is>
          <t>Notas</t>
        </is>
      </c>
    </row>
    <row r="5" ht="15" customHeight="1" s="29">
      <c r="A5" s="33" t="n">
        <v>1</v>
      </c>
      <c r="B5" s="33" t="inlineStr">
        <is>
          <t>2026-04-10</t>
        </is>
      </c>
      <c r="C5" s="33" t="n">
        <v>70</v>
      </c>
      <c r="D5" s="33" t="n">
        <v>30</v>
      </c>
      <c r="E5" s="33" t="n">
        <v>0.2</v>
      </c>
      <c r="F5" s="33" t="n">
        <v>0.9</v>
      </c>
      <c r="G5" s="33" t="n">
        <v>0.3</v>
      </c>
      <c r="H5" s="33" t="inlineStr">
        <is>
          <t>03:04.55</t>
        </is>
      </c>
      <c r="I5" s="34">
        <f>IFERROR(VALUE(LEFT(H5,2))*60+VALUE(MID(H5,4,5)),"")</f>
        <v/>
      </c>
      <c r="J5" s="33" t="n">
        <v>76</v>
      </c>
      <c r="K5" s="33" t="n">
        <v>0</v>
      </c>
      <c r="L5" s="33" t="inlineStr">
        <is>
          <t>Baseline — drive_modular activado, frenos suaves</t>
        </is>
      </c>
    </row>
    <row r="6" ht="15" customHeight="1" s="29">
      <c r="A6" s="33" t="n">
        <v>2</v>
      </c>
      <c r="B6" s="33" t="inlineStr">
        <is>
          <t>2026-04-10</t>
        </is>
      </c>
      <c r="C6" s="33" t="n">
        <v>75</v>
      </c>
      <c r="D6" s="33" t="n">
        <v>30</v>
      </c>
      <c r="E6" s="33" t="n">
        <v>0.2</v>
      </c>
      <c r="F6" s="33" t="n">
        <v>0.5</v>
      </c>
      <c r="G6" s="33" t="n">
        <v>0.6</v>
      </c>
      <c r="H6" s="33" t="inlineStr">
        <is>
          <t>02:55.03</t>
        </is>
      </c>
      <c r="I6" s="34">
        <f>IFERROR(VALUE(LEFT(H6,2))*60+VALUE(MID(H6,4,5)),"")</f>
        <v/>
      </c>
      <c r="J6" s="33" t="n">
        <v>81</v>
      </c>
      <c r="K6" s="33" t="n">
        <v>0</v>
      </c>
      <c r="L6" s="33" t="inlineStr">
        <is>
          <t>Frenos agresivos: -9.52s. Gran mejora</t>
        </is>
      </c>
    </row>
    <row r="7" ht="15" customHeight="1" s="29">
      <c r="A7" s="35" t="n">
        <v>3</v>
      </c>
      <c r="B7" s="35" t="inlineStr">
        <is>
          <t>2026-04-10</t>
        </is>
      </c>
      <c r="C7" s="35" t="n">
        <v>75</v>
      </c>
      <c r="D7" s="35" t="n">
        <v>35</v>
      </c>
      <c r="E7" s="35" t="n">
        <v>0.3</v>
      </c>
      <c r="F7" s="35" t="n">
        <v>0.5</v>
      </c>
      <c r="G7" s="35" t="n">
        <v>0.6</v>
      </c>
      <c r="H7" s="35" t="inlineStr">
        <is>
          <t>02:53.68</t>
        </is>
      </c>
      <c r="I7" s="36">
        <f>IFERROR(VALUE(LEFT(H7,2))*60+VALUE(MID(H7,4,5)),"")</f>
        <v/>
      </c>
      <c r="J7" s="35" t="n">
        <v>84</v>
      </c>
      <c r="K7" s="35" t="n">
        <v>0</v>
      </c>
      <c r="L7" s="35" t="inlineStr">
        <is>
          <t>Steering más decidido y centrado: -1.35s. ÓPTIMO ACTUAL</t>
        </is>
      </c>
    </row>
    <row r="8" ht="15" customHeight="1" s="29">
      <c r="A8" s="37" t="n">
        <v>4</v>
      </c>
      <c r="B8" s="37" t="inlineStr">
        <is>
          <t>2026-04-10</t>
        </is>
      </c>
      <c r="C8" s="37" t="n">
        <v>82</v>
      </c>
      <c r="D8" s="37" t="n">
        <v>35</v>
      </c>
      <c r="E8" s="37" t="n">
        <v>0.3</v>
      </c>
      <c r="F8" s="37" t="n">
        <v>0.5</v>
      </c>
      <c r="G8" s="37" t="n">
        <v>0.6</v>
      </c>
      <c r="H8" s="37" t="inlineStr">
        <is>
          <t>DNF</t>
        </is>
      </c>
      <c r="I8" s="38">
        <f>IFERROR(VALUE(LEFT(H8,2))*60+VALUE(MID(H8,4,5)),"")</f>
        <v/>
      </c>
      <c r="J8" s="37" t="n"/>
      <c r="K8" s="37" t="n"/>
      <c r="L8" s="37" t="inlineStr">
        <is>
          <t>Se salió — 82 km/h demasiado con estos frenos</t>
        </is>
      </c>
    </row>
    <row r="9" ht="15" customHeight="1" s="29">
      <c r="A9" s="37" t="n">
        <v>5</v>
      </c>
      <c r="B9" s="37" t="inlineStr">
        <is>
          <t>2026-04-10</t>
        </is>
      </c>
      <c r="C9" s="37" t="n">
        <v>85</v>
      </c>
      <c r="D9" s="37" t="n">
        <v>30</v>
      </c>
      <c r="E9" s="37" t="n">
        <v>0.2</v>
      </c>
      <c r="F9" s="37" t="n">
        <v>0.9</v>
      </c>
      <c r="G9" s="37" t="n">
        <v>0.3</v>
      </c>
      <c r="H9" s="37" t="inlineStr">
        <is>
          <t>DNF</t>
        </is>
      </c>
      <c r="I9" s="38">
        <f>IFERROR(VALUE(LEFT(H9,2))*60+VALUE(MID(H9,4,5)),"")</f>
        <v/>
      </c>
      <c r="J9" s="37" t="n"/>
      <c r="K9" s="37" t="n">
        <v>45</v>
      </c>
      <c r="L9" s="37" t="inlineStr">
        <is>
          <t>Se salió dos veces — sin frenos agresivos es inviable</t>
        </is>
      </c>
    </row>
    <row r="10">
      <c r="A10" s="39" t="n">
        <v>6</v>
      </c>
      <c r="B10" s="39" t="inlineStr">
        <is>
          <t>2026-04-10</t>
        </is>
      </c>
      <c r="C10" s="39" t="inlineStr">
        <is>
          <t>V2:60-130</t>
        </is>
      </c>
      <c r="D10" s="39" t="n">
        <v>35</v>
      </c>
      <c r="E10" s="39" t="n">
        <v>0.3</v>
      </c>
      <c r="F10" s="39" t="inlineStr">
        <is>
          <t>dyn</t>
        </is>
      </c>
      <c r="G10" s="39" t="inlineStr">
        <is>
          <t>dyn</t>
        </is>
      </c>
      <c r="H10" s="39" t="inlineStr">
        <is>
          <t>03:42.40</t>
        </is>
      </c>
      <c r="I10" s="40">
        <f>IFERROR(VALUE(LEFT(H10,2))*60+VALUE(MID(H10,4,5)),"")</f>
        <v/>
      </c>
      <c r="J10" s="39" t="n">
        <v>110</v>
      </c>
      <c r="K10" s="39" t="n">
        <v>0</v>
      </c>
      <c r="L10" s="39" t="inlineStr">
        <is>
          <t>V2 lookahead inicial — conservador</t>
        </is>
      </c>
    </row>
    <row r="11">
      <c r="A11" s="39" t="n">
        <v>7</v>
      </c>
      <c r="B11" s="39" t="inlineStr">
        <is>
          <t>2026-04-10</t>
        </is>
      </c>
      <c r="C11" s="39" t="inlineStr">
        <is>
          <t>V2:85-140</t>
        </is>
      </c>
      <c r="D11" s="39" t="n">
        <v>35</v>
      </c>
      <c r="E11" s="39" t="n">
        <v>0.3</v>
      </c>
      <c r="F11" s="39" t="inlineStr">
        <is>
          <t>dyn</t>
        </is>
      </c>
      <c r="G11" s="39" t="inlineStr">
        <is>
          <t>dyn</t>
        </is>
      </c>
      <c r="H11" s="39" t="inlineStr">
        <is>
          <t>DNF</t>
        </is>
      </c>
      <c r="I11" s="40">
        <f>IFERROR(VALUE(LEFT(H11,2))*60+VALUE(MID(H11,4,5)),"")</f>
        <v/>
      </c>
      <c r="J11" s="39" t="n"/>
      <c r="K11" s="39" t="n"/>
      <c r="L11" s="39" t="inlineStr">
        <is>
          <t>V2.1 — MIN=85 MAX=140 se salió</t>
        </is>
      </c>
    </row>
    <row r="12" ht="15" customHeight="1" s="29">
      <c r="A12" s="39" t="n">
        <v>8</v>
      </c>
      <c r="B12" s="39" t="inlineStr">
        <is>
          <t>2026-04-10</t>
        </is>
      </c>
      <c r="C12" s="39" t="inlineStr">
        <is>
          <t>V2:70-120</t>
        </is>
      </c>
      <c r="D12" s="39" t="n">
        <v>35</v>
      </c>
      <c r="E12" s="39" t="n">
        <v>0.4</v>
      </c>
      <c r="F12" s="39" t="inlineStr">
        <is>
          <t>dyn</t>
        </is>
      </c>
      <c r="G12" s="39" t="inlineStr">
        <is>
          <t>dyn</t>
        </is>
      </c>
      <c r="H12" s="39" t="inlineStr">
        <is>
          <t>02:27.28</t>
        </is>
      </c>
      <c r="I12" s="40">
        <f>IFERROR(VALUE(LEFT(H12,2))*60+VALUE(MID(H12,4,5)),"")</f>
        <v/>
      </c>
      <c r="J12" s="39" t="n">
        <v>113</v>
      </c>
      <c r="K12" s="39" t="n">
        <v>0</v>
      </c>
      <c r="L12" s="39" t="inlineStr">
        <is>
          <t>V2.2 FINAL MIN=70 MAX=120 LOOK=30/100 CENTER=0.40 → −26.40s OFICIAL</t>
        </is>
      </c>
    </row>
    <row r="13" ht="15" customHeight="1" s="29"/>
    <row r="14" ht="15" customHeight="1" s="29"/>
    <row r="15" ht="15" customHeight="1" s="29">
      <c r="A15" s="41" t="inlineStr">
        <is>
          <t>MEJOR TIEMPO ACTUAL</t>
        </is>
      </c>
    </row>
    <row r="16" ht="15" customHeight="1" s="29">
      <c r="A16" s="42" t="inlineStr">
        <is>
          <t>Tiempo:</t>
        </is>
      </c>
      <c r="B16" s="43">
        <f>INDEX(H5:H12,MATCH(MIN(I5:I12),I5:I12,0))</f>
        <v/>
      </c>
    </row>
    <row r="17" ht="15" customHeight="1" s="29">
      <c r="A17" s="42" t="inlineStr">
        <is>
          <t>Mejora total:</t>
        </is>
      </c>
      <c r="B17" s="43">
        <f>TEXT(MAX(I5:I12)-MIN(I5:I12),"0.00")&amp;" seg"</f>
        <v/>
      </c>
    </row>
    <row r="18" ht="15" customHeight="1" s="29">
      <c r="A18" s="42" t="inlineStr">
        <is>
          <t>Mejora %:</t>
        </is>
      </c>
      <c r="B18" s="44">
        <f>(MAX(I5:I12)-MIN(I5:I12))/MAX(I5:I12)</f>
        <v/>
      </c>
    </row>
    <row r="19">
      <c r="A19" s="42" t="inlineStr">
        <is>
          <t>Experimentos totales:</t>
        </is>
      </c>
      <c r="B19" s="28">
        <f>COUNTA(A5:A12)</f>
        <v/>
      </c>
    </row>
    <row r="20">
      <c r="A20" s="42" t="inlineStr">
        <is>
          <t>Vueltas válidas:</t>
        </is>
      </c>
      <c r="B20" s="28">
        <f>COUNT(I5:I12)</f>
        <v/>
      </c>
    </row>
    <row r="21">
      <c r="A21" s="42" t="inlineStr">
        <is>
          <t>DNF:</t>
        </is>
      </c>
      <c r="B21" s="45">
        <f>COUNTIF(H5:H12,"DNF")</f>
        <v/>
      </c>
    </row>
  </sheetData>
  <mergeCells count="9">
    <mergeCell ref="A2:L2"/>
    <mergeCell ref="B21:C21"/>
    <mergeCell ref="B16:C16"/>
    <mergeCell ref="B19:C19"/>
    <mergeCell ref="B20:C20"/>
    <mergeCell ref="A1:L1"/>
    <mergeCell ref="B17:C17"/>
    <mergeCell ref="A15:C15"/>
    <mergeCell ref="B18:C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28" min="1" max="2"/>
    <col width="60" customWidth="1" style="28" min="3" max="3"/>
  </cols>
  <sheetData>
    <row r="1" ht="27.75" customHeight="1" s="29">
      <c r="A1" s="46" t="inlineStr">
        <is>
          <t>Configuración del Agente Ganador</t>
        </is>
      </c>
    </row>
    <row r="3" ht="15" customHeight="1" s="29">
      <c r="A3" s="47" t="inlineStr">
        <is>
          <t>Archivo: torcs_jm_par.py</t>
        </is>
      </c>
    </row>
    <row r="4" ht="15" customHeight="1" s="29">
      <c r="A4" s="47" t="inlineStr">
        <is>
          <t>Función activa: drive_v2() con lookahead dinámico</t>
        </is>
      </c>
    </row>
    <row r="6" ht="15" customHeight="1" s="29">
      <c r="A6" s="48" t="inlineStr">
        <is>
          <t>Parámetro</t>
        </is>
      </c>
      <c r="B6" s="48" t="inlineStr">
        <is>
          <t>Valor</t>
        </is>
      </c>
      <c r="C6" s="48" t="inlineStr">
        <is>
          <t>Descripción</t>
        </is>
      </c>
    </row>
    <row r="7" ht="15" customHeight="1" s="29">
      <c r="A7" s="49" t="inlineStr">
        <is>
          <t>MIN_SPEED</t>
        </is>
      </c>
      <c r="B7" s="50" t="n">
        <v>70</v>
      </c>
      <c r="C7" s="51" t="inlineStr">
        <is>
          <t>Velocidad mínima en curvas cerradas (km/h)</t>
        </is>
      </c>
    </row>
    <row r="8" ht="15" customHeight="1" s="29">
      <c r="A8" s="49" t="inlineStr">
        <is>
          <t>MAX_SPEED</t>
        </is>
      </c>
      <c r="B8" s="50" t="n">
        <v>120</v>
      </c>
      <c r="C8" s="51" t="inlineStr">
        <is>
          <t>Velocidad máxima en rectas largas (km/h)</t>
        </is>
      </c>
    </row>
    <row r="9" ht="15" customHeight="1" s="29">
      <c r="A9" s="49" t="inlineStr">
        <is>
          <t>LOOKAHEAD_NEAR / FAR</t>
        </is>
      </c>
      <c r="B9" s="50" t="inlineStr">
        <is>
          <t>30 / 100</t>
        </is>
      </c>
      <c r="C9" s="51" t="inlineStr">
        <is>
          <t>Distancias para interpolar velocidad objetivo (m)</t>
        </is>
      </c>
    </row>
    <row r="10" ht="15" customHeight="1" s="29">
      <c r="A10" s="49" t="inlineStr">
        <is>
          <t>STEER_GAIN</t>
        </is>
      </c>
      <c r="B10" s="50" t="n">
        <v>35</v>
      </c>
      <c r="C10" s="51" t="inlineStr">
        <is>
          <t>Ganancia del volante</t>
        </is>
      </c>
    </row>
    <row r="11" ht="15" customHeight="1" s="29">
      <c r="A11" s="49" t="inlineStr">
        <is>
          <t>CENTERING_GAIN</t>
        </is>
      </c>
      <c r="B11" s="50" t="n">
        <v>0.4</v>
      </c>
      <c r="C11" s="51" t="inlineStr">
        <is>
          <t>Fuerza de centrado en la pista</t>
        </is>
      </c>
    </row>
    <row r="12" ht="15" customHeight="1" s="29">
      <c r="A12" s="49" t="inlineStr">
        <is>
          <t>BRAKE_CURVE_FACTOR</t>
        </is>
      </c>
      <c r="B12" s="50" t="n">
        <v>0.8</v>
      </c>
      <c r="C12" s="51" t="inlineStr">
        <is>
          <t>Multiplicador del frenado progresivo</t>
        </is>
      </c>
    </row>
    <row r="13" ht="15" customHeight="1" s="29">
      <c r="A13" s="49" t="inlineStr">
        <is>
          <t>EMERGENCY_BRAKE_DIST</t>
        </is>
      </c>
      <c r="B13" s="50" t="n">
        <v>25</v>
      </c>
      <c r="C13" s="51" t="inlineStr">
        <is>
          <t>Distancia frontal para freno máximo (m)</t>
        </is>
      </c>
    </row>
    <row r="16" ht="15" customHeight="1" s="29">
      <c r="A16" s="41" t="inlineStr">
        <is>
          <t>Datos del Circuito</t>
        </is>
      </c>
    </row>
    <row r="17" ht="15" customHeight="1" s="29">
      <c r="A17" s="49" t="inlineStr">
        <is>
          <t>Nombre</t>
        </is>
      </c>
      <c r="B17" s="51" t="inlineStr">
        <is>
          <t>Corkscrew</t>
        </is>
      </c>
      <c r="C17" s="51" t="n"/>
    </row>
    <row r="18" ht="15" customHeight="1" s="29">
      <c r="A18" s="49" t="inlineStr">
        <is>
          <t>Ruta</t>
        </is>
      </c>
      <c r="B18" s="51" t="inlineStr">
        <is>
          <t>torcs/tracks/road/corkscrew/</t>
        </is>
      </c>
      <c r="C18" s="51" t="n"/>
    </row>
    <row r="19" ht="15" customHeight="1" s="29">
      <c r="A19" s="49" t="inlineStr">
        <is>
          <t>Mejor vuelta (actual)</t>
        </is>
      </c>
      <c r="B19" s="51" t="inlineStr">
        <is>
          <t>02:27.28</t>
        </is>
      </c>
      <c r="C19" s="51" t="n"/>
    </row>
    <row r="20" ht="15" customHeight="1" s="29">
      <c r="A20" s="49" t="inlineStr">
        <is>
          <t>Vueltas completadas sin daño</t>
        </is>
      </c>
      <c r="B20" s="51" t="n">
        <v>2</v>
      </c>
      <c r="C20" s="51" t="n"/>
    </row>
    <row r="21" ht="15" customHeight="1" s="29">
      <c r="A21" s="49" t="inlineStr">
        <is>
          <t>Top speed alcanzada</t>
        </is>
      </c>
      <c r="B21" s="51" t="inlineStr">
        <is>
          <t>113 km/h</t>
        </is>
      </c>
      <c r="C21" s="51" t="n"/>
    </row>
    <row r="22" ht="15" customHeight="1" s="29">
      <c r="A22" s="49" t="inlineStr">
        <is>
          <t>Damage promedio</t>
        </is>
      </c>
      <c r="B22" s="51" t="n">
        <v>0</v>
      </c>
      <c r="C22" s="51" t="n"/>
    </row>
  </sheetData>
  <mergeCells count="4">
    <mergeCell ref="A1:C1"/>
    <mergeCell ref="A4:C4"/>
    <mergeCell ref="A3:C3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28" min="1" max="1"/>
    <col width="45" customWidth="1" style="28" min="2" max="2"/>
    <col width="12" customWidth="1" style="28" min="3" max="3"/>
    <col width="14" customWidth="1" style="28" min="4" max="4"/>
    <col width="40" customWidth="1" style="28" min="5" max="5"/>
  </cols>
  <sheetData>
    <row r="1" ht="27.75" customHeight="1" s="29">
      <c r="A1" s="46" t="inlineStr">
        <is>
          <t>Plan de Ataque hasta 1 de julio 2026</t>
        </is>
      </c>
    </row>
    <row r="3" ht="15" customHeight="1" s="29">
      <c r="A3" s="48" t="inlineStr">
        <is>
          <t>#</t>
        </is>
      </c>
      <c r="B3" s="48" t="inlineStr">
        <is>
          <t>Tarea</t>
        </is>
      </c>
      <c r="C3" s="48" t="inlineStr">
        <is>
          <t>Prioridad</t>
        </is>
      </c>
      <c r="D3" s="48" t="inlineStr">
        <is>
          <t>Estado</t>
        </is>
      </c>
      <c r="E3" s="48" t="inlineStr">
        <is>
          <t>Notas</t>
        </is>
      </c>
    </row>
    <row r="4" ht="15" customHeight="1" s="29">
      <c r="A4" s="52" t="n">
        <v>1</v>
      </c>
      <c r="B4" s="53" t="inlineStr">
        <is>
          <t>Instalar TORCS + gym_torcs + Python venv</t>
        </is>
      </c>
      <c r="C4" s="52" t="inlineStr">
        <is>
          <t>Alta</t>
        </is>
      </c>
      <c r="D4" s="52" t="inlineStr">
        <is>
          <t>✓ Hecho</t>
        </is>
      </c>
      <c r="E4" s="53" t="inlineStr">
        <is>
          <t>Completado</t>
        </is>
      </c>
    </row>
    <row r="5" ht="15" customHeight="1" s="29">
      <c r="A5" s="52" t="n">
        <v>2</v>
      </c>
      <c r="B5" s="53" t="inlineStr">
        <is>
          <t>Fix bug drive_example → drive_modular</t>
        </is>
      </c>
      <c r="C5" s="52" t="inlineStr">
        <is>
          <t>Alta</t>
        </is>
      </c>
      <c r="D5" s="52" t="inlineStr">
        <is>
          <t>✓ Hecho</t>
        </is>
      </c>
      <c r="E5" s="53" t="inlineStr">
        <is>
          <t>fix_agent.py aplicado</t>
        </is>
      </c>
    </row>
    <row r="6" ht="15" customHeight="1" s="29">
      <c r="A6" s="52" t="n">
        <v>3</v>
      </c>
      <c r="B6" s="53" t="inlineStr">
        <is>
          <t>Baseline en Corkscrew</t>
        </is>
      </c>
      <c r="C6" s="52" t="inlineStr">
        <is>
          <t>Alta</t>
        </is>
      </c>
      <c r="D6" s="52" t="inlineStr">
        <is>
          <t>✓ Hecho</t>
        </is>
      </c>
      <c r="E6" s="53" t="inlineStr">
        <is>
          <t>3:04.55 → 2:53.68</t>
        </is>
      </c>
    </row>
    <row r="7" ht="15" customHeight="1" s="29">
      <c r="A7" s="52" t="n">
        <v>4</v>
      </c>
      <c r="B7" s="53" t="inlineStr">
        <is>
          <t>Bitácora de experimentos (Excel)</t>
        </is>
      </c>
      <c r="C7" s="52" t="inlineStr">
        <is>
          <t>Alta</t>
        </is>
      </c>
      <c r="D7" s="52" t="inlineStr">
        <is>
          <t>✓ Hecho</t>
        </is>
      </c>
      <c r="E7" s="53" t="inlineStr">
        <is>
          <t>Este archivo</t>
        </is>
      </c>
    </row>
    <row r="8" ht="15" customHeight="1" s="29">
      <c r="A8" s="54" t="n">
        <v>5</v>
      </c>
      <c r="B8" s="55" t="inlineStr">
        <is>
          <t>Instalar VS Code + extensión Python</t>
        </is>
      </c>
      <c r="C8" s="54" t="inlineStr">
        <is>
          <t>Media</t>
        </is>
      </c>
      <c r="D8" s="54" t="inlineStr">
        <is>
          <t>Pendiente</t>
        </is>
      </c>
      <c r="E8" s="55" t="n"/>
    </row>
    <row r="9" ht="15" customHeight="1" s="29">
      <c r="A9" s="54" t="n">
        <v>6</v>
      </c>
      <c r="B9" s="55" t="inlineStr">
        <is>
          <t>Instalar Ollama + IBM Granite 4.0 350M</t>
        </is>
      </c>
      <c r="C9" s="54" t="inlineStr">
        <is>
          <t>Alta</t>
        </is>
      </c>
      <c r="D9" s="54" t="inlineStr">
        <is>
          <t>Pendiente</t>
        </is>
      </c>
      <c r="E9" s="55" t="inlineStr">
        <is>
          <t>Obligatorio por reglas IBM</t>
        </is>
      </c>
    </row>
    <row r="10" ht="15" customHeight="1" s="29">
      <c r="A10" s="54" t="n">
        <v>7</v>
      </c>
      <c r="B10" s="55" t="inlineStr">
        <is>
          <t>Configurar Continue.dev con Granite local</t>
        </is>
      </c>
      <c r="C10" s="54" t="inlineStr">
        <is>
          <t>Media</t>
        </is>
      </c>
      <c r="D10" s="54" t="inlineStr">
        <is>
          <t>Pendiente</t>
        </is>
      </c>
      <c r="E10" s="55" t="n"/>
    </row>
    <row r="11" ht="15" customHeight="1" s="29">
      <c r="A11" s="54" t="n">
        <v>8</v>
      </c>
      <c r="B11" s="55" t="inlineStr">
        <is>
          <t>Mejorar drive_modular con lookahead (S['track'])</t>
        </is>
      </c>
      <c r="C11" s="54" t="inlineStr">
        <is>
          <t>Alta</t>
        </is>
      </c>
      <c r="D11" s="54" t="inlineStr">
        <is>
          <t>✓ Hecho</t>
        </is>
      </c>
      <c r="E11" s="55" t="inlineStr">
        <is>
          <t>V2 → 02:27.28 (−26.40s)</t>
        </is>
      </c>
    </row>
    <row r="12" ht="15" customHeight="1" s="29">
      <c r="A12" s="54" t="n">
        <v>9</v>
      </c>
      <c r="B12" s="55" t="inlineStr">
        <is>
          <t>Tuning fino de marchas (GEAR_SPEEDS)</t>
        </is>
      </c>
      <c r="C12" s="54" t="inlineStr">
        <is>
          <t>Media</t>
        </is>
      </c>
      <c r="D12" s="54" t="inlineStr">
        <is>
          <t>Pendiente</t>
        </is>
      </c>
      <c r="E12" s="55" t="n"/>
    </row>
    <row r="13" ht="15" customHeight="1" s="29">
      <c r="A13" s="54" t="n">
        <v>10</v>
      </c>
      <c r="B13" s="55" t="inlineStr">
        <is>
          <t>Crear livery personalizada (car1-trb1.rgb)</t>
        </is>
      </c>
      <c r="C13" s="54" t="inlineStr">
        <is>
          <t>Baja</t>
        </is>
      </c>
      <c r="D13" s="54" t="inlineStr">
        <is>
          <t>✓ Hecho</t>
        </is>
      </c>
      <c r="E13" s="55" t="inlineStr">
        <is>
          <t>IBM livery activa</t>
        </is>
      </c>
    </row>
    <row r="14" ht="15" customHeight="1" s="29">
      <c r="A14" s="54" t="n">
        <v>11</v>
      </c>
      <c r="B14" s="55" t="inlineStr">
        <is>
          <t>Crear repo GitHub público</t>
        </is>
      </c>
      <c r="C14" s="54" t="inlineStr">
        <is>
          <t>Alta</t>
        </is>
      </c>
      <c r="D14" s="54" t="inlineStr">
        <is>
          <t>Pendiente</t>
        </is>
      </c>
      <c r="E14" s="55" t="inlineStr">
        <is>
          <t>Entregable obligatorio</t>
        </is>
      </c>
    </row>
    <row r="15" ht="15" customHeight="1" s="29">
      <c r="A15" s="54" t="n">
        <v>12</v>
      </c>
      <c r="B15" s="55" t="inlineStr">
        <is>
          <t>Grabar vídeo de vuelta rápida</t>
        </is>
      </c>
      <c r="C15" s="54" t="inlineStr">
        <is>
          <t>Alta</t>
        </is>
      </c>
      <c r="D15" s="54" t="inlineStr">
        <is>
          <t>✓ Hecho</t>
        </is>
      </c>
      <c r="E15" s="55" t="inlineStr">
        <is>
          <t>Fastest_Lap_02-27-28.mp4</t>
        </is>
      </c>
    </row>
    <row r="16" ht="15" customHeight="1" s="29">
      <c r="A16" s="54" t="n">
        <v>13</v>
      </c>
      <c r="B16" s="55" t="inlineStr">
        <is>
          <t>Grabar vídeo de equipo/proceso</t>
        </is>
      </c>
      <c r="C16" s="54" t="inlineStr">
        <is>
          <t>Alta</t>
        </is>
      </c>
      <c r="D16" s="54" t="inlineStr">
        <is>
          <t>Pendiente</t>
        </is>
      </c>
      <c r="E16" s="55" t="inlineStr">
        <is>
          <t>Entregable obligatorio</t>
        </is>
      </c>
    </row>
    <row r="17" ht="15" customHeight="1" s="29">
      <c r="A17" s="54" t="n">
        <v>14</v>
      </c>
      <c r="B17" s="55" t="inlineStr">
        <is>
          <t>Rellenar formulario de datos de carrera</t>
        </is>
      </c>
      <c r="C17" s="54" t="inlineStr">
        <is>
          <t>Alta</t>
        </is>
      </c>
      <c r="D17" s="54" t="inlineStr">
        <is>
          <t>Pendiente</t>
        </is>
      </c>
      <c r="E17" s="55" t="inlineStr">
        <is>
          <t>Entregable obligatorio</t>
        </is>
      </c>
    </row>
    <row r="18" ht="15" customHeight="1" s="29">
      <c r="A18" s="54" t="n">
        <v>15</v>
      </c>
      <c r="B18" s="55" t="inlineStr">
        <is>
          <t>Envío final antes 1-Jul-2026</t>
        </is>
      </c>
      <c r="C18" s="54" t="inlineStr">
        <is>
          <t>Crítica</t>
        </is>
      </c>
      <c r="D18" s="54" t="inlineStr">
        <is>
          <t>Pendiente</t>
        </is>
      </c>
      <c r="E18" s="55" t="inlineStr">
        <is>
          <t>Deadline</t>
        </is>
      </c>
    </row>
    <row r="20" ht="15" customHeight="1" s="29">
      <c r="A20" s="42" t="inlineStr">
        <is>
          <t>Progreso:</t>
        </is>
      </c>
      <c r="B20" s="43">
        <f>COUNTIF(D4:D18,"*Hecho*")&amp;" / "&amp;COUNTA(D4:D18)&amp;" tareas completadas"</f>
        <v/>
      </c>
    </row>
    <row r="21" ht="15" customHeight="1" s="29">
      <c r="A21" s="42" t="inlineStr">
        <is>
          <t>% Completado:</t>
        </is>
      </c>
      <c r="B21" s="56">
        <f>COUNTIF(D4:D18,"*Hecho*")/COUNTA(D4:D18)</f>
        <v/>
      </c>
    </row>
  </sheetData>
  <mergeCells count="3">
    <mergeCell ref="A1:E1"/>
    <mergeCell ref="B21:E21"/>
    <mergeCell ref="B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28" min="1" max="1"/>
    <col width="16" customWidth="1" style="28" min="2" max="3"/>
  </cols>
  <sheetData>
    <row r="1" ht="27.75" customHeight="1" s="29">
      <c r="A1" s="46" t="inlineStr">
        <is>
          <t>Evolución del Mejor Tiempo</t>
        </is>
      </c>
    </row>
    <row r="3" ht="15" customHeight="1" s="29">
      <c r="A3" s="48" t="inlineStr">
        <is>
          <t>Intento</t>
        </is>
      </c>
      <c r="B3" s="48" t="inlineStr">
        <is>
          <t>Tiempo (seg)</t>
        </is>
      </c>
      <c r="C3" s="48" t="inlineStr">
        <is>
          <t>Tiempo visual</t>
        </is>
      </c>
    </row>
    <row r="4" ht="15" customHeight="1" s="29">
      <c r="A4" s="57" t="n">
        <v>1</v>
      </c>
      <c r="B4" s="57" t="n">
        <v>184.55</v>
      </c>
      <c r="C4" s="57" t="inlineStr">
        <is>
          <t>03:04.55</t>
        </is>
      </c>
    </row>
    <row r="5" ht="15" customHeight="1" s="29">
      <c r="A5" s="57" t="n">
        <v>2</v>
      </c>
      <c r="B5" s="57" t="n">
        <v>175.03</v>
      </c>
      <c r="C5" s="57" t="inlineStr">
        <is>
          <t>02:55.03</t>
        </is>
      </c>
    </row>
    <row r="6" ht="15" customHeight="1" s="29">
      <c r="A6" s="57" t="n">
        <v>3</v>
      </c>
      <c r="B6" s="57" t="n">
        <v>173.68</v>
      </c>
      <c r="C6" s="57" t="inlineStr">
        <is>
          <t>02:53.68</t>
        </is>
      </c>
    </row>
    <row r="7">
      <c r="A7" s="58" t="n">
        <v>4</v>
      </c>
      <c r="B7" s="58" t="n">
        <v>147.28</v>
      </c>
      <c r="C7" s="58" t="inlineStr">
        <is>
          <t>02:27.28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2026-04-10T11:41:54Z</dcterms:created>
  <dcterms:modified xmlns:dcterms="http://purl.org/dc/terms/" xmlns:xsi="http://www.w3.org/2001/XMLSchema-instance" xsi:type="dcterms:W3CDTF">2026-04-10T12:44:00Z</dcterms:modified>
  <cp:revision>1</cp:revision>
</cp:coreProperties>
</file>